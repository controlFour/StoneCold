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block/Pictures/"/>
    </mc:Choice>
  </mc:AlternateContent>
  <xr:revisionPtr revIDLastSave="0" documentId="13_ncr:1_{B64743DF-DAC2-D843-A4B7-B2817462920F}" xr6:coauthVersionLast="47" xr6:coauthVersionMax="47" xr10:uidLastSave="{00000000-0000-0000-0000-000000000000}"/>
  <bookViews>
    <workbookView xWindow="13160" yWindow="740" windowWidth="28040" windowHeight="17440" xr2:uid="{2AC8C7AC-316E-754A-97EA-81C14791EF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21" i="1"/>
  <c r="E19" i="1"/>
  <c r="E10" i="1"/>
  <c r="E15" i="1"/>
  <c r="E14" i="1"/>
  <c r="E13" i="1"/>
  <c r="E12" i="1"/>
  <c r="E11" i="1"/>
  <c r="E4" i="1"/>
  <c r="E5" i="1"/>
  <c r="E6" i="1"/>
  <c r="E7" i="1"/>
  <c r="E8" i="1"/>
  <c r="E9" i="1"/>
  <c r="E3" i="1"/>
  <c r="E2" i="1"/>
  <c r="E16" i="1" l="1"/>
</calcChain>
</file>

<file path=xl/sharedStrings.xml><?xml version="1.0" encoding="utf-8"?>
<sst xmlns="http://schemas.openxmlformats.org/spreadsheetml/2006/main" count="71" uniqueCount="69">
  <si>
    <t>Noctua NH-U12A</t>
  </si>
  <si>
    <t>Heatsink</t>
  </si>
  <si>
    <t>Fans</t>
  </si>
  <si>
    <t>Noctua NF-F12 iPPC-2000PWM</t>
  </si>
  <si>
    <t>Quantity</t>
  </si>
  <si>
    <t>Model</t>
  </si>
  <si>
    <t>Price Per Unit</t>
  </si>
  <si>
    <t>Total</t>
  </si>
  <si>
    <t>GPIO Expander</t>
  </si>
  <si>
    <t>Purchase Link</t>
  </si>
  <si>
    <t>Category</t>
  </si>
  <si>
    <t>Notes</t>
  </si>
  <si>
    <t>These are waterproofed version of the original fans with the NH-U12A, I think they are likely optional.</t>
  </si>
  <si>
    <t>Other heatsinks will likely work, this is just a top of the line one, and I haven't tested others</t>
  </si>
  <si>
    <t>Controller</t>
  </si>
  <si>
    <t>M5Stack M5Dial</t>
  </si>
  <si>
    <t>https://shop.m5stack.com/products/m5stack-dial-esp32-s3-smart-rotary-knob-w-1-28-round-touch-screen</t>
  </si>
  <si>
    <t>M5Stack Extend I/O 2 Unit</t>
  </si>
  <si>
    <t>https://shop.m5stack.com/products/extend-i-o-unit-2-stm32f0</t>
  </si>
  <si>
    <t>Adapter Cable</t>
  </si>
  <si>
    <t>M5Stack Grove2Dupont</t>
  </si>
  <si>
    <t>https://shop.m5stack.com/products/grove2dupont-conversion-cable-20cm-5pairs</t>
  </si>
  <si>
    <t>This is used to connect Port B to various components. Not strictly required if you want to do some soldering</t>
  </si>
  <si>
    <t>H-Bridge</t>
  </si>
  <si>
    <t>BTS7960 IBT-2</t>
  </si>
  <si>
    <t>Max31865</t>
  </si>
  <si>
    <t>Temp Decoder</t>
  </si>
  <si>
    <t>Temp Sensor</t>
  </si>
  <si>
    <t>P100 RTD Temp Sensor</t>
  </si>
  <si>
    <t>https://www.aliexpress.us/item/3256809130010113.html</t>
  </si>
  <si>
    <t>https://www.amazon.com/dp/B071DVVZHC</t>
  </si>
  <si>
    <t>https://www.amazon.com/HiLetgo-BTS7960-Driver-Arduino-Current/dp/B00WSN98DC</t>
  </si>
  <si>
    <t>https://www.amazon.com/Noctua-NF-F12-iPPC-2000-PWM/dp/B00KFCR5BA</t>
  </si>
  <si>
    <t>https://www.amazon.com/dp/B07PN4RDW3</t>
  </si>
  <si>
    <t>So you need a P100 temp probe. And it can be 2/3/4 wire (the max supports all). But it needs to be 4mm diameter, and less than .75" long.   Those are limited options. But you can buy a longer one and bend it. For exmaple, I currently use this: https://www.amazon.com/Platinum-Resistance-Waterproof-Temperature-Controller/dp/B095X6SW42</t>
  </si>
  <si>
    <t>Fuses</t>
  </si>
  <si>
    <t>https://www.amazon.com/dp/B0D7D25G62</t>
  </si>
  <si>
    <t>6x Inline Auto fuse holder + fuses</t>
  </si>
  <si>
    <t>You need just 3x, any inline auto fuse wire will do. You also will need 1x5A fuse, 2x20A fuse (but those come with the kit linked)</t>
  </si>
  <si>
    <t>Gasket</t>
  </si>
  <si>
    <t>Plastic Submersible Cord Grip, NPT Threads, for 0.16"-0.31" Cord OD,</t>
  </si>
  <si>
    <t>https://www.mcmaster.com/69915k51</t>
  </si>
  <si>
    <t>Screws</t>
  </si>
  <si>
    <t>https://www.mcmaster.com/91253A196</t>
  </si>
  <si>
    <t>18-8 Stainless Steel Button Head Hex Drive Screw, 8-32 Thread Size, 5/8" Long</t>
  </si>
  <si>
    <t>https://www.mcmaster.com/92949A196</t>
  </si>
  <si>
    <t>These are from original BOM and the screws on stonecold</t>
  </si>
  <si>
    <t>100x Steel Hex-Drive Flat Head Screws  8-32 Thread Size, 5/8" Long</t>
  </si>
  <si>
    <t>Could choose cheaper ones (like zinc plated). I like the black though. Any 8-32 flat head 5/8" lengh, with 82 degree countersink angle will work</t>
  </si>
  <si>
    <t>O-ring cord</t>
  </si>
  <si>
    <t>High-Temperature Silicone O-Ring Cord Stock, 1/8 Fractional Width, 0.139" Actual Width</t>
  </si>
  <si>
    <t>https://www.mcmaster.com/96505K23</t>
  </si>
  <si>
    <t>I think 3ft is enough, but I haven't measured</t>
  </si>
  <si>
    <t>1k resistor</t>
  </si>
  <si>
    <t>https://www.amazon.com/California-JOS-Carbon-Resistor-Tolerance/dp/B0BR6JNM1M</t>
  </si>
  <si>
    <t>Any old 1k resistor will do (this is pulldown for ADC)</t>
  </si>
  <si>
    <t>Hookup wire</t>
  </si>
  <si>
    <t>16 Gauge Red/Black</t>
  </si>
  <si>
    <t>https://www.amazon.com/Electrical-60ft-Black-Copper-Clad-Appliances-Electronics/dp/B0FC6TKT36</t>
  </si>
  <si>
    <t xml:space="preserve">Used to connect stuff and extend the TEC wires. </t>
  </si>
  <si>
    <t>WAGO Nutes</t>
  </si>
  <si>
    <t>WAGO Lever Nuts</t>
  </si>
  <si>
    <t>https://www.amazon.com/dp/B0BN6MBR7X</t>
  </si>
  <si>
    <t>Used to attach power rails together. But don't need anything as expensive (I think I used 2x 4 slot ones)</t>
  </si>
  <si>
    <t>Dupont Crimping Kit</t>
  </si>
  <si>
    <t>Taiss Dupont Crimping Tool Kit with 600PCS 2.54mm Dupont Connector Kit</t>
  </si>
  <si>
    <t>https://www.amazon.com/dp/B0B11RLGDZ</t>
  </si>
  <si>
    <t>For making custom cables to take up less room</t>
  </si>
  <si>
    <t>Extra Stuff I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</si>
</sst>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70" formatCode="&quot;$&quot;#,##0.00"/>
  </numFmts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333333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b/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170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wrapText="1"/>
    </xf>
    <xf numFmtId="6" fontId="4" fillId="0" borderId="0" xfId="0" applyNumberFormat="1" applyFont="1"/>
    <xf numFmtId="170" fontId="4" fillId="0" borderId="0" xfId="0" applyNumberFormat="1" applyFont="1"/>
    <xf numFmtId="0" fontId="5" fillId="0" borderId="0" xfId="1" applyFont="1" applyAlignment="1">
      <alignment wrapText="1"/>
    </xf>
    <xf numFmtId="8" fontId="4" fillId="0" borderId="0" xfId="0" applyNumberFormat="1" applyFont="1"/>
    <xf numFmtId="0" fontId="6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Noctua-NF-F12-iPPC-2000-PWM/dp/B00KFCR5BA" TargetMode="External"/><Relationship Id="rId13" Type="http://schemas.openxmlformats.org/officeDocument/2006/relationships/hyperlink" Target="https://www.mcmaster.com/96505K23" TargetMode="External"/><Relationship Id="rId3" Type="http://schemas.openxmlformats.org/officeDocument/2006/relationships/hyperlink" Target="https://shop.m5stack.com/products/extend-i-o-unit-2-stm32f0" TargetMode="External"/><Relationship Id="rId7" Type="http://schemas.openxmlformats.org/officeDocument/2006/relationships/hyperlink" Target="https://www.aliexpress.us/item/3256809130010113.html" TargetMode="External"/><Relationship Id="rId12" Type="http://schemas.openxmlformats.org/officeDocument/2006/relationships/hyperlink" Target="https://www.mcmaster.com/92949A196" TargetMode="External"/><Relationship Id="rId17" Type="http://schemas.openxmlformats.org/officeDocument/2006/relationships/hyperlink" Target="https://www.amazon.com/dp/B0B11RLGDZ" TargetMode="External"/><Relationship Id="rId2" Type="http://schemas.openxmlformats.org/officeDocument/2006/relationships/hyperlink" Target="https://shop.m5stack.com/products/m5stack-dial-esp32-s3-smart-rotary-knob-w-1-28-round-touch-screen" TargetMode="External"/><Relationship Id="rId16" Type="http://schemas.openxmlformats.org/officeDocument/2006/relationships/hyperlink" Target="https://www.amazon.com/dp/B0BN6MBR7X" TargetMode="External"/><Relationship Id="rId1" Type="http://schemas.openxmlformats.org/officeDocument/2006/relationships/hyperlink" Target="https://www.amazon.com/dp/B07PN4RDW3" TargetMode="External"/><Relationship Id="rId6" Type="http://schemas.openxmlformats.org/officeDocument/2006/relationships/hyperlink" Target="https://www.amazon.com/dp/B071DVVZHC" TargetMode="External"/><Relationship Id="rId11" Type="http://schemas.openxmlformats.org/officeDocument/2006/relationships/hyperlink" Target="https://www.mcmaster.com/91253A196" TargetMode="External"/><Relationship Id="rId5" Type="http://schemas.openxmlformats.org/officeDocument/2006/relationships/hyperlink" Target="https://www.amazon.com/HiLetgo-BTS7960-Driver-Arduino-Current/dp/B00WSN98DC" TargetMode="External"/><Relationship Id="rId15" Type="http://schemas.openxmlformats.org/officeDocument/2006/relationships/hyperlink" Target="https://www.amazon.com/Electrical-60ft-Black-Copper-Clad-Appliances-Electronics/dp/B0FC6TKT36" TargetMode="External"/><Relationship Id="rId10" Type="http://schemas.openxmlformats.org/officeDocument/2006/relationships/hyperlink" Target="https://www.mcmaster.com/69915k51" TargetMode="External"/><Relationship Id="rId4" Type="http://schemas.openxmlformats.org/officeDocument/2006/relationships/hyperlink" Target="https://shop.m5stack.com/products/grove2dupont-conversion-cable-20cm-5pairs" TargetMode="External"/><Relationship Id="rId9" Type="http://schemas.openxmlformats.org/officeDocument/2006/relationships/hyperlink" Target="https://www.amazon.com/dp/B0D7D25G62" TargetMode="External"/><Relationship Id="rId14" Type="http://schemas.openxmlformats.org/officeDocument/2006/relationships/hyperlink" Target="https://www.amazon.com/California-JOS-Carbon-Resistor-Tolerance/dp/B0BR6JNM1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FDDAE-627D-1045-852F-735EBFBD9025}">
  <dimension ref="A1:G21"/>
  <sheetViews>
    <sheetView tabSelected="1" topLeftCell="A9" workbookViewId="0">
      <selection activeCell="F12" sqref="F12"/>
    </sheetView>
  </sheetViews>
  <sheetFormatPr baseColWidth="10" defaultRowHeight="16" x14ac:dyDescent="0.2"/>
  <cols>
    <col min="1" max="1" width="18" style="5" customWidth="1"/>
    <col min="2" max="2" width="10.83203125" style="5"/>
    <col min="3" max="3" width="31.1640625" style="6" customWidth="1"/>
    <col min="4" max="4" width="11.1640625" style="5" customWidth="1"/>
    <col min="5" max="5" width="11.1640625" style="8" customWidth="1"/>
    <col min="6" max="6" width="83" style="6" customWidth="1"/>
    <col min="7" max="7" width="44.83203125" style="6" customWidth="1"/>
    <col min="8" max="16384" width="10.83203125" style="5"/>
  </cols>
  <sheetData>
    <row r="1" spans="1:7" ht="17" x14ac:dyDescent="0.2">
      <c r="A1" s="2" t="s">
        <v>10</v>
      </c>
      <c r="B1" s="2" t="s">
        <v>4</v>
      </c>
      <c r="C1" s="3" t="s">
        <v>5</v>
      </c>
      <c r="D1" s="2" t="s">
        <v>6</v>
      </c>
      <c r="E1" s="4" t="s">
        <v>7</v>
      </c>
      <c r="F1" s="3" t="s">
        <v>9</v>
      </c>
      <c r="G1" s="3" t="s">
        <v>11</v>
      </c>
    </row>
    <row r="2" spans="1:7" ht="44" customHeight="1" x14ac:dyDescent="0.2">
      <c r="A2" s="5" t="s">
        <v>1</v>
      </c>
      <c r="B2" s="5">
        <v>1</v>
      </c>
      <c r="C2" s="6" t="s">
        <v>0</v>
      </c>
      <c r="D2" s="7">
        <v>129</v>
      </c>
      <c r="E2" s="8">
        <f>D2*B2</f>
        <v>129</v>
      </c>
      <c r="F2" s="9" t="s">
        <v>33</v>
      </c>
      <c r="G2" s="6" t="s">
        <v>13</v>
      </c>
    </row>
    <row r="3" spans="1:7" ht="51" x14ac:dyDescent="0.2">
      <c r="A3" s="5" t="s">
        <v>2</v>
      </c>
      <c r="B3" s="5">
        <v>2</v>
      </c>
      <c r="C3" s="6" t="s">
        <v>3</v>
      </c>
      <c r="D3" s="7">
        <v>29</v>
      </c>
      <c r="E3" s="8">
        <f>D3*B3</f>
        <v>58</v>
      </c>
      <c r="F3" s="9" t="s">
        <v>32</v>
      </c>
      <c r="G3" s="6" t="s">
        <v>12</v>
      </c>
    </row>
    <row r="4" spans="1:7" ht="34" x14ac:dyDescent="0.2">
      <c r="A4" s="5" t="s">
        <v>14</v>
      </c>
      <c r="B4" s="5">
        <v>1</v>
      </c>
      <c r="C4" s="6" t="s">
        <v>15</v>
      </c>
      <c r="D4" s="10">
        <v>22.7</v>
      </c>
      <c r="E4" s="8">
        <f t="shared" ref="E4:E15" si="0">D4*B4</f>
        <v>22.7</v>
      </c>
      <c r="F4" s="9" t="s">
        <v>16</v>
      </c>
    </row>
    <row r="5" spans="1:7" ht="17" x14ac:dyDescent="0.2">
      <c r="A5" s="5" t="s">
        <v>8</v>
      </c>
      <c r="B5" s="5">
        <v>1</v>
      </c>
      <c r="C5" s="6" t="s">
        <v>17</v>
      </c>
      <c r="D5" s="10">
        <v>6.5</v>
      </c>
      <c r="E5" s="8">
        <f t="shared" si="0"/>
        <v>6.5</v>
      </c>
      <c r="F5" s="9" t="s">
        <v>18</v>
      </c>
    </row>
    <row r="6" spans="1:7" ht="51" x14ac:dyDescent="0.2">
      <c r="A6" s="5" t="s">
        <v>19</v>
      </c>
      <c r="B6" s="5">
        <v>1</v>
      </c>
      <c r="C6" s="6" t="s">
        <v>20</v>
      </c>
      <c r="D6" s="10">
        <v>4.5</v>
      </c>
      <c r="E6" s="8">
        <f t="shared" si="0"/>
        <v>4.5</v>
      </c>
      <c r="F6" s="9" t="s">
        <v>21</v>
      </c>
      <c r="G6" s="6" t="s">
        <v>22</v>
      </c>
    </row>
    <row r="7" spans="1:7" ht="17" x14ac:dyDescent="0.2">
      <c r="A7" s="5" t="s">
        <v>23</v>
      </c>
      <c r="B7" s="5">
        <v>1</v>
      </c>
      <c r="C7" s="6" t="s">
        <v>24</v>
      </c>
      <c r="D7" s="10">
        <v>10.99</v>
      </c>
      <c r="E7" s="8">
        <f t="shared" si="0"/>
        <v>10.99</v>
      </c>
      <c r="F7" s="9" t="s">
        <v>31</v>
      </c>
    </row>
    <row r="8" spans="1:7" ht="17" x14ac:dyDescent="0.2">
      <c r="A8" s="5" t="s">
        <v>26</v>
      </c>
      <c r="B8" s="5">
        <v>1</v>
      </c>
      <c r="C8" s="6" t="s">
        <v>25</v>
      </c>
      <c r="D8" s="10">
        <v>13.99</v>
      </c>
      <c r="E8" s="8">
        <f t="shared" si="0"/>
        <v>13.99</v>
      </c>
      <c r="F8" s="9" t="s">
        <v>30</v>
      </c>
    </row>
    <row r="9" spans="1:7" ht="136" x14ac:dyDescent="0.2">
      <c r="A9" s="5" t="s">
        <v>27</v>
      </c>
      <c r="B9" s="5">
        <v>1</v>
      </c>
      <c r="C9" s="6" t="s">
        <v>28</v>
      </c>
      <c r="D9" s="10">
        <v>9.0299999999999994</v>
      </c>
      <c r="E9" s="8">
        <f t="shared" si="0"/>
        <v>9.0299999999999994</v>
      </c>
      <c r="F9" s="9" t="s">
        <v>29</v>
      </c>
      <c r="G9" s="6" t="s">
        <v>34</v>
      </c>
    </row>
    <row r="10" spans="1:7" ht="34" x14ac:dyDescent="0.2">
      <c r="A10" s="5" t="s">
        <v>53</v>
      </c>
      <c r="B10" s="5">
        <v>1</v>
      </c>
      <c r="C10" s="6" t="s">
        <v>53</v>
      </c>
      <c r="D10" s="10">
        <v>3.99</v>
      </c>
      <c r="E10" s="8">
        <f t="shared" si="0"/>
        <v>3.99</v>
      </c>
      <c r="F10" s="9" t="s">
        <v>54</v>
      </c>
      <c r="G10" s="6" t="s">
        <v>55</v>
      </c>
    </row>
    <row r="11" spans="1:7" ht="51" x14ac:dyDescent="0.2">
      <c r="A11" s="5" t="s">
        <v>35</v>
      </c>
      <c r="B11" s="5">
        <v>1</v>
      </c>
      <c r="C11" s="6" t="s">
        <v>37</v>
      </c>
      <c r="D11" s="10">
        <v>7.88</v>
      </c>
      <c r="E11" s="8">
        <f t="shared" si="0"/>
        <v>7.88</v>
      </c>
      <c r="F11" s="9" t="s">
        <v>36</v>
      </c>
      <c r="G11" s="6" t="s">
        <v>38</v>
      </c>
    </row>
    <row r="12" spans="1:7" ht="51" x14ac:dyDescent="0.2">
      <c r="A12" s="5" t="s">
        <v>39</v>
      </c>
      <c r="B12" s="5">
        <v>1</v>
      </c>
      <c r="C12" s="1" t="s">
        <v>40</v>
      </c>
      <c r="D12" s="10">
        <v>4.0599999999999996</v>
      </c>
      <c r="E12" s="8">
        <f t="shared" si="0"/>
        <v>4.0599999999999996</v>
      </c>
      <c r="F12" s="9" t="s">
        <v>41</v>
      </c>
    </row>
    <row r="13" spans="1:7" ht="68" x14ac:dyDescent="0.2">
      <c r="A13" s="5" t="s">
        <v>42</v>
      </c>
      <c r="B13" s="5">
        <v>1</v>
      </c>
      <c r="C13" s="6" t="s">
        <v>47</v>
      </c>
      <c r="D13" s="10">
        <v>20.079999999999998</v>
      </c>
      <c r="E13" s="8">
        <f t="shared" si="0"/>
        <v>20.079999999999998</v>
      </c>
      <c r="F13" s="9" t="s">
        <v>43</v>
      </c>
      <c r="G13" s="6" t="s">
        <v>48</v>
      </c>
    </row>
    <row r="14" spans="1:7" ht="51" x14ac:dyDescent="0.2">
      <c r="A14" s="5" t="s">
        <v>42</v>
      </c>
      <c r="B14" s="5">
        <v>1</v>
      </c>
      <c r="C14" s="1" t="s">
        <v>44</v>
      </c>
      <c r="D14" s="10">
        <v>8.49</v>
      </c>
      <c r="E14" s="8">
        <f t="shared" si="0"/>
        <v>8.49</v>
      </c>
      <c r="F14" s="9" t="s">
        <v>45</v>
      </c>
      <c r="G14" s="6" t="s">
        <v>46</v>
      </c>
    </row>
    <row r="15" spans="1:7" ht="51" x14ac:dyDescent="0.2">
      <c r="A15" s="5" t="s">
        <v>49</v>
      </c>
      <c r="B15" s="5">
        <v>1</v>
      </c>
      <c r="C15" s="1" t="s">
        <v>50</v>
      </c>
      <c r="D15" s="10">
        <v>2.73</v>
      </c>
      <c r="E15" s="8">
        <f t="shared" si="0"/>
        <v>2.73</v>
      </c>
      <c r="F15" s="9" t="s">
        <v>51</v>
      </c>
      <c r="G15" s="6" t="s">
        <v>52</v>
      </c>
    </row>
    <row r="16" spans="1:7" x14ac:dyDescent="0.2">
      <c r="E16" s="8">
        <f>SUM(E2:E15)</f>
        <v>301.94</v>
      </c>
    </row>
    <row r="18" spans="1:7" ht="25" x14ac:dyDescent="0.25">
      <c r="A18" s="11" t="s">
        <v>68</v>
      </c>
      <c r="B18" s="11"/>
      <c r="C18" s="11"/>
      <c r="D18" s="11"/>
      <c r="E18" s="11"/>
      <c r="F18" s="11"/>
      <c r="G18" s="11"/>
    </row>
    <row r="19" spans="1:7" ht="34" x14ac:dyDescent="0.2">
      <c r="A19" s="5" t="s">
        <v>56</v>
      </c>
      <c r="B19" s="5">
        <v>1</v>
      </c>
      <c r="C19" s="6" t="s">
        <v>57</v>
      </c>
      <c r="D19" s="8">
        <v>9.99</v>
      </c>
      <c r="E19" s="8">
        <f>D19*B19</f>
        <v>9.99</v>
      </c>
      <c r="F19" s="9" t="s">
        <v>58</v>
      </c>
      <c r="G19" s="6" t="s">
        <v>59</v>
      </c>
    </row>
    <row r="20" spans="1:7" ht="51" x14ac:dyDescent="0.2">
      <c r="A20" s="5" t="s">
        <v>60</v>
      </c>
      <c r="B20" s="5">
        <v>1</v>
      </c>
      <c r="C20" s="6" t="s">
        <v>61</v>
      </c>
      <c r="D20" s="10">
        <v>44.95</v>
      </c>
      <c r="E20" s="8">
        <f t="shared" ref="E20:E21" si="1">D20*B20</f>
        <v>44.95</v>
      </c>
      <c r="F20" s="9" t="s">
        <v>62</v>
      </c>
      <c r="G20" s="6" t="s">
        <v>63</v>
      </c>
    </row>
    <row r="21" spans="1:7" ht="51" x14ac:dyDescent="0.2">
      <c r="A21" s="5" t="s">
        <v>64</v>
      </c>
      <c r="B21" s="5">
        <v>1</v>
      </c>
      <c r="C21" s="6" t="s">
        <v>65</v>
      </c>
      <c r="D21" s="8">
        <v>21.99</v>
      </c>
      <c r="E21" s="8">
        <f t="shared" si="1"/>
        <v>21.99</v>
      </c>
      <c r="F21" s="9" t="s">
        <v>66</v>
      </c>
      <c r="G21" s="6" t="s">
        <v>67</v>
      </c>
    </row>
  </sheetData>
  <mergeCells count="1">
    <mergeCell ref="A18:G18"/>
  </mergeCells>
  <hyperlinks>
    <hyperlink ref="F2" r:id="rId1" xr:uid="{6834C127-AE82-EB4E-B2AA-3D1F8D2B6326}"/>
    <hyperlink ref="F4" r:id="rId2" xr:uid="{BA09D087-26C5-B64B-974A-307A1DD9E2D5}"/>
    <hyperlink ref="F5" r:id="rId3" xr:uid="{FD7EB1CD-91D3-BD47-A7AA-0893C9E3386C}"/>
    <hyperlink ref="F6" r:id="rId4" xr:uid="{68DF7236-4299-234D-B9BC-FBB5718BC5FB}"/>
    <hyperlink ref="F7" r:id="rId5" xr:uid="{13096169-77E1-494D-AF8B-6CBB3128287E}"/>
    <hyperlink ref="F8" r:id="rId6" xr:uid="{154E0703-E4F1-0141-88BD-6D1162E4BEDB}"/>
    <hyperlink ref="F9" r:id="rId7" xr:uid="{FF0673BA-DCC7-5843-A988-45EB22A422C0}"/>
    <hyperlink ref="F3" r:id="rId8" xr:uid="{F814DC01-3752-054B-AF0B-075A9EF62B6E}"/>
    <hyperlink ref="F11" r:id="rId9" xr:uid="{C2EF7D6A-B7B5-3F4B-A4AF-EF0DB5202CD6}"/>
    <hyperlink ref="F12" r:id="rId10" xr:uid="{1123269B-287F-D740-ACEA-DAE364F73BBA}"/>
    <hyperlink ref="F13" r:id="rId11" xr:uid="{E046EE6A-11FA-C347-A939-6ABFDCEBFE5D}"/>
    <hyperlink ref="F14" r:id="rId12" xr:uid="{F1E8297C-A724-D142-BF6A-38EFE32D1031}"/>
    <hyperlink ref="F15" r:id="rId13" xr:uid="{E13F7A58-4398-CB4E-8B25-1C9F078B28FD}"/>
    <hyperlink ref="F10" r:id="rId14" xr:uid="{176AB359-4C93-7140-8914-640B0D5D3E5C}"/>
    <hyperlink ref="F19" r:id="rId15" xr:uid="{CBD8F8B9-0A55-4D44-A755-AD1ED182EAB1}"/>
    <hyperlink ref="F20" r:id="rId16" xr:uid="{479840FB-FF9F-FC45-8447-C14BC87B88C7}"/>
    <hyperlink ref="F21" r:id="rId17" xr:uid="{59FCA625-FD49-1D4B-9724-C245D3A47E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Block</dc:creator>
  <cp:lastModifiedBy>Daniel Block</cp:lastModifiedBy>
  <dcterms:created xsi:type="dcterms:W3CDTF">2026-01-06T19:19:36Z</dcterms:created>
  <dcterms:modified xsi:type="dcterms:W3CDTF">2026-01-06T20:08:30Z</dcterms:modified>
</cp:coreProperties>
</file>